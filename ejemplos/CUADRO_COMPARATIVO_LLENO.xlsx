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ran\Desktop\"/>
    </mc:Choice>
  </mc:AlternateContent>
  <xr:revisionPtr revIDLastSave="0" documentId="8_{894BE73C-3B31-4E7A-8AD8-509FD4CAE972}" xr6:coauthVersionLast="47" xr6:coauthVersionMax="47" xr10:uidLastSave="{00000000-0000-0000-0000-000000000000}"/>
  <bookViews>
    <workbookView xWindow="-120" yWindow="-120" windowWidth="20640" windowHeight="11160" xr2:uid="{64DED04B-A8CF-413B-9D60-3ACF4E3086C7}"/>
  </bookViews>
  <sheets>
    <sheet name="Hoja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1" i="1" l="1"/>
  <c r="O21" i="1"/>
  <c r="V20" i="1"/>
  <c r="W20" i="1" s="1"/>
  <c r="W21" i="1" s="1"/>
  <c r="P20" i="1"/>
  <c r="M20" i="1"/>
  <c r="J20" i="1"/>
  <c r="I21" i="1" s="1"/>
  <c r="G20" i="1"/>
  <c r="F21" i="1" s="1"/>
</calcChain>
</file>

<file path=xl/sharedStrings.xml><?xml version="1.0" encoding="utf-8"?>
<sst xmlns="http://schemas.openxmlformats.org/spreadsheetml/2006/main" count="147" uniqueCount="82">
  <si>
    <t xml:space="preserve">FORMATO DE CUADRO COMPARATIVO </t>
  </si>
  <si>
    <t>Regresar</t>
  </si>
  <si>
    <t>DOCUMENTO DE SOLICITUD :NOTA INFORMATIVA N°1096-DF-HNAL-2026</t>
  </si>
  <si>
    <t>AREA USUARIA: CIRUGIA GENERAL - APARATO DIGESTIVO Y PARED ABDOMINAL</t>
  </si>
  <si>
    <t>TIPO DE PROCESO DE SELECCIÓN:CONTRATO MENOR</t>
  </si>
  <si>
    <t>DENOMINACIÓN DE LA CONTRATACIÓN:</t>
  </si>
  <si>
    <t>ADQ. DE DISPOSITIVOS MEDICOS PARA 01 AÑO PARA EL DPTO DE CIRUGIA GENERAL - APARATO DIGESTIVO Y PARED ABDOMINAL</t>
  </si>
  <si>
    <t xml:space="preserve"> </t>
  </si>
  <si>
    <t>ITEM Nº</t>
  </si>
  <si>
    <t>DESCRIPCIÓN</t>
  </si>
  <si>
    <t>MEDIDA</t>
  </si>
  <si>
    <t>CANTIDAD</t>
  </si>
  <si>
    <t>FUENTE1: COTIZACIONES ACTUALIZADAS</t>
  </si>
  <si>
    <t>FUENTE 2:PRECIO HISTORICOS DE LA ENTIDAD</t>
  </si>
  <si>
    <t>LABMEDIC SAFE SAC</t>
  </si>
  <si>
    <t>INKACEUTICAL SAC</t>
  </si>
  <si>
    <t>EGUSQFARMA E.I.R.L.</t>
  </si>
  <si>
    <t>BIOMEDICAL CARE REPRESENTACIONES S.A.C.</t>
  </si>
  <si>
    <t>ENTIDAD</t>
  </si>
  <si>
    <t>HOSPITAL NACIONAL ARZOBISPO LOAYZA</t>
  </si>
  <si>
    <t>PROCEDIMIENTO Y/O METODOLOGÍA UTILIZADO PARA DETERMINAR EL V.E.</t>
  </si>
  <si>
    <t>VALOR UNITARIO</t>
  </si>
  <si>
    <t>VALOR ESTIMADO DEL ITEM</t>
  </si>
  <si>
    <t>RUC:</t>
  </si>
  <si>
    <t>TIPO Y N° PROCESO DE SELECCIÓN</t>
  </si>
  <si>
    <t>CM-OC N° 0001355-2025</t>
  </si>
  <si>
    <t>CONTACTO:</t>
  </si>
  <si>
    <t>CARLA SANDOVAL</t>
  </si>
  <si>
    <t>ANTONIO CONTRERAS</t>
  </si>
  <si>
    <t>SANDRA EGUSQUIZA</t>
  </si>
  <si>
    <t>MANUEL SUAREZ</t>
  </si>
  <si>
    <t>FECHA  DE CONSENTIMIENTO DE LA BUENA PRO:</t>
  </si>
  <si>
    <t>TELÉFONO:</t>
  </si>
  <si>
    <t>E-MAIL:</t>
  </si>
  <si>
    <t>COTIZACIONES@IBMEDIC.COM</t>
  </si>
  <si>
    <t>INKACEUTIKAL.VENTAS@GMAIL.COM</t>
  </si>
  <si>
    <t>egusqfarma@gmail.com</t>
  </si>
  <si>
    <t>cotizaciones.biomedicalcr@gmail.com</t>
  </si>
  <si>
    <t>NOMBRE O  RAZON SOCIAL DEL ADJUDICATORIO</t>
  </si>
  <si>
    <t>Q-MEDICAL S.A.C.</t>
  </si>
  <si>
    <r>
      <t xml:space="preserve">PRECIO UNITARIO
</t>
    </r>
    <r>
      <rPr>
        <b/>
        <sz val="23"/>
        <color indexed="8"/>
        <rFont val="Calibri"/>
        <family val="2"/>
      </rPr>
      <t>( S/ )</t>
    </r>
  </si>
  <si>
    <r>
      <t xml:space="preserve">PRECIO TOTAL
</t>
    </r>
    <r>
      <rPr>
        <b/>
        <sz val="23"/>
        <color indexed="8"/>
        <rFont val="Calibri"/>
        <family val="2"/>
      </rPr>
      <t>( S/ )</t>
    </r>
  </si>
  <si>
    <t>MARCA</t>
  </si>
  <si>
    <t>CLIP DE TITANIO ML X 6</t>
  </si>
  <si>
    <t>UNIDAD</t>
  </si>
  <si>
    <t>MIRUS</t>
  </si>
  <si>
    <t>MINDRAY</t>
  </si>
  <si>
    <t>Q-MEDICAL</t>
  </si>
  <si>
    <t>MEDCAPTAIN</t>
  </si>
  <si>
    <t>SE TOMO COMO V.ESTIMADO  LA COTIZACIÓN(01) DE LA FUENTE 1:COTIZACIONES ACTUALIZADAS</t>
  </si>
  <si>
    <t>TOTAL</t>
  </si>
  <si>
    <t>INFORMACIÓN ADICIONAL DE LA FUENTE</t>
  </si>
  <si>
    <t>MODELO</t>
  </si>
  <si>
    <t>PROCEDENCIA</t>
  </si>
  <si>
    <t>AÑO DE FABRICACIÓN</t>
  </si>
  <si>
    <t>GARANTÍA COMERCIAL O VIGENCIA COMERCIAL</t>
  </si>
  <si>
    <t>12 MESES</t>
  </si>
  <si>
    <t>48 MESES</t>
  </si>
  <si>
    <t>24 MESES</t>
  </si>
  <si>
    <t>NO APLICA</t>
  </si>
  <si>
    <t>PLAZO DE ENTREGA</t>
  </si>
  <si>
    <t>05 DÍAS  DESPUES DE RECIBIR LA O/C</t>
  </si>
  <si>
    <t>65 DÍAS CALENDARIO</t>
  </si>
  <si>
    <t>05 DIAS CALENDARIO</t>
  </si>
  <si>
    <t>FORMA DE PAGO</t>
  </si>
  <si>
    <t>CREDITO COMERCIAL</t>
  </si>
  <si>
    <t>MONEDA DE LA FUENTE</t>
  </si>
  <si>
    <t>SOLES</t>
  </si>
  <si>
    <t>ACCIONES ADMINISTRATIVAS REALIZADAS</t>
  </si>
  <si>
    <t>FECHA DE SOLICITUD</t>
  </si>
  <si>
    <t>CANTIDAD DE VECES QUE SE REITERO LA SOLICITUD</t>
  </si>
  <si>
    <t>FECHA DE RECEPCIÓN</t>
  </si>
  <si>
    <t>PROVEEDOR SE DEDICA AL OBJETO DE LA CONTRATACIÓN</t>
  </si>
  <si>
    <t>SI</t>
  </si>
  <si>
    <t>LA DEPENDENCIA USUARIA PARTICIPÓ EN LA VERIFICACIÓN DEL CUMPLIMIENTO DE LOS RTM</t>
  </si>
  <si>
    <t>CUMPLE CON LOS RTM O LA CONTRATACIÓN ES IGUAL O SIMILAR AL REQUERIMIENTO</t>
  </si>
  <si>
    <t xml:space="preserve">SI </t>
  </si>
  <si>
    <t>SE TOMO EN CUENTA PARA LA DETERMINACIÓN DEL VALOR REFERENCIAL</t>
  </si>
  <si>
    <t>NO</t>
  </si>
  <si>
    <t>NO SE CONSIDERA SOLO COMO PRECIO REFERENCIAL PARA EL ESTUDIO DE MERCADO</t>
  </si>
  <si>
    <t>1)SE REALIZO LA INDAGACIÓN DE MERCADO,INVITANDO A POSIBLES PROVEEDORES DEDICADOS AL OBJETO DE LA CONTRATACIÓN,TENIENDO COMO RESULTADO LAS SIGUIENTES COTIZACIONES: LABMEDIC SAFE SAC, INKACEUTICAL SAC
2)CON MEMORANDUM N°3727-DF-HNAL-2026, EL DPTO DE FARMACIA REMITE LA  REVISIÓN Y EVALUACIÓN DE CUMPLIMIENTO DE LAS ESPECIFICACIONES TECNICAS - ADQUISICIÓN DE DISPOSITIVOS MEDICOS PARA 1 AÑO PARA EL DPTO DE CIRUGIA GENERAL.
3)PRIMERA COMPRA DEL AÑO.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</si>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</sst>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S/&quot;\ * #,##0.00_-;\-&quot;S/&quot;\ * #,##0.00_-;_-&quot;S/&quot;\ * &quot;-&quot;??_-;_-@_-"/>
    <numFmt numFmtId="165" formatCode="_-&quot;S/&quot;\ * #,##0.00_-;\-&quot;S/&quot;\ * #,##0.00_-;_-&quot;S/&quot;\ * &quot;-&quot;????_-;_-@_-"/>
    <numFmt numFmtId="166" formatCode="_-&quot;S/&quot;\ * #,##0.000_-;\-&quot;S/&quot;\ * #,##0.000_-;_-&quot;S/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48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sz val="10"/>
      <name val="Arial"/>
      <family val="2"/>
    </font>
    <font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6"/>
      <color rgb="FF0000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b/>
      <sz val="23"/>
      <color rgb="FF0000FF"/>
      <name val="Calibri"/>
      <family val="2"/>
      <scheme val="minor"/>
    </font>
    <font>
      <u/>
      <sz val="23"/>
      <color theme="10"/>
      <name val="Calibri"/>
      <family val="2"/>
    </font>
    <font>
      <b/>
      <sz val="23"/>
      <color indexed="8"/>
      <name val="Calibri"/>
      <family val="2"/>
    </font>
    <font>
      <b/>
      <sz val="23"/>
      <color rgb="FF000000"/>
      <name val="Cambria"/>
      <family val="1"/>
    </font>
    <font>
      <sz val="23"/>
      <color rgb="FF0000FF"/>
      <name val="Calibri"/>
      <family val="2"/>
      <scheme val="minor"/>
    </font>
    <font>
      <b/>
      <sz val="4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2" applyFont="1" applyFill="1" applyBorder="1" applyAlignment="1" applyProtection="1">
      <alignment vertical="center"/>
    </xf>
    <xf numFmtId="0" fontId="5" fillId="2" borderId="0" xfId="0" applyFont="1" applyFill="1"/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top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49" fontId="11" fillId="2" borderId="4" xfId="0" applyNumberFormat="1" applyFont="1" applyFill="1" applyBorder="1" applyAlignment="1">
      <alignment horizontal="right" vertical="top"/>
    </xf>
    <xf numFmtId="0" fontId="11" fillId="2" borderId="1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/>
    </xf>
    <xf numFmtId="0" fontId="12" fillId="2" borderId="3" xfId="0" applyFont="1" applyFill="1" applyBorder="1" applyAlignment="1">
      <alignment horizontal="left" vertical="top"/>
    </xf>
    <xf numFmtId="0" fontId="13" fillId="3" borderId="5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vertical="center" wrapText="1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14" fontId="13" fillId="3" borderId="7" xfId="0" applyNumberFormat="1" applyFont="1" applyFill="1" applyBorder="1" applyAlignment="1">
      <alignment horizontal="center" vertical="center"/>
    </xf>
    <xf numFmtId="14" fontId="13" fillId="3" borderId="9" xfId="0" applyNumberFormat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14" fontId="13" fillId="3" borderId="10" xfId="0" applyNumberFormat="1" applyFont="1" applyFill="1" applyBorder="1" applyAlignment="1">
      <alignment horizontal="center" vertical="center"/>
    </xf>
    <xf numFmtId="14" fontId="13" fillId="3" borderId="12" xfId="0" applyNumberFormat="1" applyFont="1" applyFill="1" applyBorder="1" applyAlignment="1">
      <alignment horizontal="center" vertical="center"/>
    </xf>
    <xf numFmtId="0" fontId="16" fillId="3" borderId="1" xfId="2" applyFont="1" applyFill="1" applyBorder="1" applyAlignment="1" applyProtection="1">
      <alignment horizontal="center" vertical="center" wrapText="1"/>
    </xf>
    <xf numFmtId="0" fontId="16" fillId="3" borderId="3" xfId="2" applyFont="1" applyFill="1" applyBorder="1" applyAlignment="1" applyProtection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165" fontId="15" fillId="4" borderId="4" xfId="1" applyNumberFormat="1" applyFont="1" applyFill="1" applyBorder="1" applyAlignment="1">
      <alignment horizontal="left" vertical="center"/>
    </xf>
    <xf numFmtId="164" fontId="15" fillId="4" borderId="4" xfId="1" applyFont="1" applyFill="1" applyBorder="1" applyAlignment="1">
      <alignment horizontal="center" vertical="center" wrapText="1"/>
    </xf>
    <xf numFmtId="49" fontId="15" fillId="4" borderId="4" xfId="1" applyNumberFormat="1" applyFont="1" applyFill="1" applyBorder="1" applyAlignment="1">
      <alignment horizontal="center" vertical="center" wrapText="1"/>
    </xf>
    <xf numFmtId="165" fontId="15" fillId="2" borderId="4" xfId="1" applyNumberFormat="1" applyFont="1" applyFill="1" applyBorder="1" applyAlignment="1">
      <alignment horizontal="left" vertical="center"/>
    </xf>
    <xf numFmtId="164" fontId="15" fillId="2" borderId="4" xfId="1" applyFont="1" applyFill="1" applyBorder="1" applyAlignment="1">
      <alignment horizontal="center" vertical="center" wrapText="1"/>
    </xf>
    <xf numFmtId="49" fontId="15" fillId="2" borderId="4" xfId="1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166" fontId="15" fillId="0" borderId="4" xfId="1" applyNumberFormat="1" applyFont="1" applyFill="1" applyBorder="1" applyAlignment="1">
      <alignment horizontal="left" vertical="center" indent="1"/>
    </xf>
    <xf numFmtId="164" fontId="13" fillId="0" borderId="4" xfId="1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164" fontId="13" fillId="4" borderId="4" xfId="1" applyFont="1" applyFill="1" applyBorder="1" applyAlignment="1">
      <alignment horizontal="center" vertical="center"/>
    </xf>
    <xf numFmtId="164" fontId="13" fillId="2" borderId="1" xfId="1" applyFont="1" applyFill="1" applyBorder="1" applyAlignment="1">
      <alignment horizontal="center" vertical="center"/>
    </xf>
    <xf numFmtId="164" fontId="13" fillId="2" borderId="3" xfId="1" applyFont="1" applyFill="1" applyBorder="1" applyAlignment="1">
      <alignment horizontal="center" vertical="center"/>
    </xf>
    <xf numFmtId="164" fontId="13" fillId="2" borderId="4" xfId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4" fontId="13" fillId="2" borderId="4" xfId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Listad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0</xdr:row>
      <xdr:rowOff>0</xdr:rowOff>
    </xdr:from>
    <xdr:to>
      <xdr:col>24</xdr:col>
      <xdr:colOff>390525</xdr:colOff>
      <xdr:row>1</xdr:row>
      <xdr:rowOff>104775</xdr:rowOff>
    </xdr:to>
    <xdr:sp macro="" textlink="">
      <xdr:nvSpPr>
        <xdr:cNvPr id="2" name="1 Flecha izquierd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DC4A7D-D49E-4229-90E4-482B930DDBC3}"/>
            </a:ext>
          </a:extLst>
        </xdr:cNvPr>
        <xdr:cNvSpPr/>
      </xdr:nvSpPr>
      <xdr:spPr>
        <a:xfrm>
          <a:off x="41500425" y="0"/>
          <a:ext cx="390525" cy="8858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457200</xdr:colOff>
      <xdr:row>27</xdr:row>
      <xdr:rowOff>523875</xdr:rowOff>
    </xdr:from>
    <xdr:to>
      <xdr:col>1</xdr:col>
      <xdr:colOff>5953125</xdr:colOff>
      <xdr:row>31</xdr:row>
      <xdr:rowOff>171450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34EF678-C191-4F28-8DFE-6ADC3EC614D2}"/>
            </a:ext>
          </a:extLst>
        </xdr:cNvPr>
        <xdr:cNvSpPr txBox="1"/>
      </xdr:nvSpPr>
      <xdr:spPr>
        <a:xfrm>
          <a:off x="457200" y="16773525"/>
          <a:ext cx="6267450" cy="4219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800" b="1"/>
            <a:t>____________________</a:t>
          </a:r>
        </a:p>
        <a:p>
          <a:pPr algn="ctr"/>
          <a:r>
            <a:rPr lang="es-PE" sz="2800" b="1"/>
            <a:t>Frank</a:t>
          </a:r>
          <a:r>
            <a:rPr lang="es-PE" sz="2800" b="1" baseline="0"/>
            <a:t> Ronald Tipte Ruiz</a:t>
          </a:r>
        </a:p>
        <a:p>
          <a:pPr algn="ctr"/>
          <a:r>
            <a:rPr lang="es-PE" sz="2800" b="1" baseline="0"/>
            <a:t>Especialista en Contrataciones del Estado</a:t>
          </a:r>
          <a:endParaRPr lang="es-PE" sz="2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TIZACIONES@IBMEDIC.COM" TargetMode="External"/><Relationship Id="rId2" Type="http://schemas.openxmlformats.org/officeDocument/2006/relationships/hyperlink" Target="mailto:egusqfarma@gmail.com" TargetMode="External"/><Relationship Id="rId1" Type="http://schemas.openxmlformats.org/officeDocument/2006/relationships/hyperlink" Target="mailto:cotizaciones.biomedicalcr@gmail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NKACEUTIKAL.VENT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1ACD-2AC1-45CD-814E-81650087F91E}">
  <sheetPr>
    <pageSetUpPr fitToPage="1"/>
  </sheetPr>
  <dimension ref="A1:AJ60"/>
  <sheetViews>
    <sheetView tabSelected="1" zoomScale="30" zoomScaleNormal="30" workbookViewId="0">
      <selection activeCell="E11" sqref="E11:E19"/>
    </sheetView>
  </sheetViews>
  <sheetFormatPr baseColWidth="10" defaultRowHeight="15" x14ac:dyDescent="0.25"/>
  <cols>
    <col min="1" max="1" width="11.5703125" style="34" customWidth="1"/>
    <col min="2" max="2" width="110.28515625" style="34" customWidth="1"/>
    <col min="3" max="3" width="5.7109375" style="34" hidden="1" customWidth="1"/>
    <col min="4" max="4" width="44.7109375" style="34" customWidth="1"/>
    <col min="5" max="5" width="54.5703125" style="34" customWidth="1"/>
    <col min="6" max="6" width="34.7109375" style="34" customWidth="1"/>
    <col min="7" max="7" width="44" style="34" bestFit="1" customWidth="1"/>
    <col min="8" max="9" width="34.7109375" style="34" customWidth="1"/>
    <col min="10" max="10" width="44" style="34" bestFit="1" customWidth="1"/>
    <col min="11" max="11" width="34.7109375" style="34" customWidth="1"/>
    <col min="12" max="12" width="34.7109375" style="34" hidden="1" customWidth="1"/>
    <col min="13" max="13" width="53" style="34" hidden="1" customWidth="1"/>
    <col min="14" max="18" width="34.7109375" style="34" hidden="1" customWidth="1"/>
    <col min="19" max="19" width="44.42578125" style="34" hidden="1" customWidth="1"/>
    <col min="20" max="20" width="34.7109375" style="34" hidden="1" customWidth="1"/>
    <col min="21" max="21" width="76.7109375" style="34" customWidth="1"/>
    <col min="22" max="22" width="35.140625" style="34" customWidth="1"/>
    <col min="23" max="23" width="62.5703125" style="34" customWidth="1"/>
    <col min="24" max="24" width="0" style="33" hidden="1" customWidth="1"/>
    <col min="25" max="16384" width="11.42578125" style="34"/>
  </cols>
  <sheetData>
    <row r="1" spans="1:25" s="4" customFormat="1" ht="61.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1</v>
      </c>
      <c r="Y1" s="3"/>
    </row>
    <row r="2" spans="1:25" s="4" customFormat="1" ht="8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3"/>
      <c r="Y2" s="3"/>
    </row>
    <row r="3" spans="1:25" s="4" customFormat="1" ht="29.25" customHeight="1" x14ac:dyDescent="0.2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3"/>
      <c r="Y3" s="3"/>
    </row>
    <row r="4" spans="1:25" s="4" customFormat="1" ht="29.25" customHeight="1" x14ac:dyDescent="0.2">
      <c r="A4" s="6" t="s">
        <v>3</v>
      </c>
      <c r="B4" s="7"/>
      <c r="C4" s="7"/>
      <c r="D4" s="7"/>
      <c r="E4" s="7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3"/>
      <c r="Y4" s="3"/>
    </row>
    <row r="5" spans="1:25" s="4" customFormat="1" ht="33.75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</row>
    <row r="6" spans="1:25" s="4" customFormat="1" ht="3.7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5"/>
      <c r="W6" s="5"/>
      <c r="X6" s="12"/>
    </row>
    <row r="7" spans="1:25" s="4" customFormat="1" ht="78" customHeight="1" x14ac:dyDescent="0.5">
      <c r="A7" s="14" t="s">
        <v>5</v>
      </c>
      <c r="B7" s="15"/>
      <c r="C7" s="16"/>
      <c r="D7" s="17" t="s">
        <v>6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/>
      <c r="W7" s="20"/>
      <c r="X7" s="12"/>
    </row>
    <row r="8" spans="1:25" s="4" customFormat="1" ht="3.75" customHeight="1" x14ac:dyDescent="0.25">
      <c r="X8" s="12"/>
    </row>
    <row r="9" spans="1:25" s="4" customFormat="1" ht="18.75" x14ac:dyDescent="0.25">
      <c r="A9" s="21" t="s">
        <v>7</v>
      </c>
      <c r="B9" s="22"/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5"/>
      <c r="X9" s="12"/>
    </row>
    <row r="10" spans="1:25" s="4" customFormat="1" ht="3.75" customHeight="1" x14ac:dyDescent="0.25">
      <c r="X10" s="12"/>
    </row>
    <row r="11" spans="1:25" ht="41.25" customHeight="1" x14ac:dyDescent="0.25">
      <c r="A11" s="26" t="s">
        <v>8</v>
      </c>
      <c r="B11" s="26" t="s">
        <v>9</v>
      </c>
      <c r="C11" s="27"/>
      <c r="D11" s="26" t="s">
        <v>10</v>
      </c>
      <c r="E11" s="26" t="s">
        <v>11</v>
      </c>
      <c r="F11" s="28" t="s">
        <v>12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30"/>
      <c r="R11" s="31" t="s">
        <v>13</v>
      </c>
      <c r="S11" s="31"/>
      <c r="T11" s="31"/>
      <c r="U11" s="32"/>
      <c r="V11" s="29"/>
      <c r="W11" s="30"/>
    </row>
    <row r="12" spans="1:25" ht="41.25" customHeight="1" x14ac:dyDescent="0.25">
      <c r="A12" s="35"/>
      <c r="B12" s="35"/>
      <c r="C12" s="27"/>
      <c r="D12" s="35"/>
      <c r="E12" s="35"/>
      <c r="F12" s="28">
        <v>1</v>
      </c>
      <c r="G12" s="29"/>
      <c r="H12" s="30"/>
      <c r="I12" s="28">
        <v>2</v>
      </c>
      <c r="J12" s="29"/>
      <c r="K12" s="30"/>
      <c r="L12" s="28">
        <v>3</v>
      </c>
      <c r="M12" s="29"/>
      <c r="N12" s="30"/>
      <c r="O12" s="28">
        <v>3</v>
      </c>
      <c r="P12" s="29"/>
      <c r="Q12" s="30"/>
      <c r="R12" s="31"/>
      <c r="S12" s="31"/>
      <c r="T12" s="31"/>
      <c r="U12" s="36"/>
      <c r="V12" s="36"/>
      <c r="W12" s="36"/>
    </row>
    <row r="13" spans="1:25" ht="16.5" customHeight="1" x14ac:dyDescent="0.25">
      <c r="A13" s="35"/>
      <c r="B13" s="35"/>
      <c r="C13" s="27"/>
      <c r="D13" s="35"/>
      <c r="E13" s="35"/>
      <c r="F13" s="37" t="s">
        <v>14</v>
      </c>
      <c r="G13" s="38"/>
      <c r="H13" s="39"/>
      <c r="I13" s="37" t="s">
        <v>15</v>
      </c>
      <c r="J13" s="38"/>
      <c r="K13" s="39"/>
      <c r="L13" s="37" t="s">
        <v>16</v>
      </c>
      <c r="M13" s="38"/>
      <c r="N13" s="39"/>
      <c r="O13" s="37" t="s">
        <v>17</v>
      </c>
      <c r="P13" s="38"/>
      <c r="Q13" s="39"/>
      <c r="R13" s="40" t="s">
        <v>18</v>
      </c>
      <c r="S13" s="31" t="s">
        <v>19</v>
      </c>
      <c r="T13" s="31"/>
      <c r="U13" s="26" t="s">
        <v>20</v>
      </c>
      <c r="V13" s="26" t="s">
        <v>21</v>
      </c>
      <c r="W13" s="26" t="s">
        <v>22</v>
      </c>
    </row>
    <row r="14" spans="1:25" ht="63.75" customHeight="1" x14ac:dyDescent="0.25">
      <c r="A14" s="35"/>
      <c r="B14" s="35"/>
      <c r="C14" s="41"/>
      <c r="D14" s="35"/>
      <c r="E14" s="35"/>
      <c r="F14" s="42"/>
      <c r="G14" s="43"/>
      <c r="H14" s="44"/>
      <c r="I14" s="42"/>
      <c r="J14" s="43"/>
      <c r="K14" s="44"/>
      <c r="L14" s="42"/>
      <c r="M14" s="43"/>
      <c r="N14" s="44"/>
      <c r="O14" s="42"/>
      <c r="P14" s="43"/>
      <c r="Q14" s="44"/>
      <c r="R14" s="45"/>
      <c r="S14" s="31"/>
      <c r="T14" s="31"/>
      <c r="U14" s="35"/>
      <c r="V14" s="35"/>
      <c r="W14" s="35"/>
    </row>
    <row r="15" spans="1:25" ht="85.5" customHeight="1" x14ac:dyDescent="0.25">
      <c r="A15" s="35"/>
      <c r="B15" s="35"/>
      <c r="C15" s="41"/>
      <c r="D15" s="35"/>
      <c r="E15" s="35"/>
      <c r="F15" s="46" t="s">
        <v>23</v>
      </c>
      <c r="G15" s="47">
        <v>20606795867</v>
      </c>
      <c r="H15" s="48"/>
      <c r="I15" s="46" t="s">
        <v>23</v>
      </c>
      <c r="J15" s="47">
        <v>20604339686</v>
      </c>
      <c r="K15" s="48"/>
      <c r="L15" s="46" t="s">
        <v>23</v>
      </c>
      <c r="M15" s="47">
        <v>20604200131</v>
      </c>
      <c r="N15" s="48"/>
      <c r="O15" s="46" t="s">
        <v>23</v>
      </c>
      <c r="P15" s="47">
        <v>20508191597</v>
      </c>
      <c r="Q15" s="48"/>
      <c r="R15" s="27" t="s">
        <v>24</v>
      </c>
      <c r="S15" s="47" t="s">
        <v>25</v>
      </c>
      <c r="T15" s="48"/>
      <c r="U15" s="35"/>
      <c r="V15" s="35"/>
      <c r="W15" s="35"/>
    </row>
    <row r="16" spans="1:25" ht="51" customHeight="1" x14ac:dyDescent="0.25">
      <c r="A16" s="35"/>
      <c r="B16" s="35"/>
      <c r="C16" s="41"/>
      <c r="D16" s="35"/>
      <c r="E16" s="35"/>
      <c r="F16" s="46" t="s">
        <v>26</v>
      </c>
      <c r="G16" s="28" t="s">
        <v>27</v>
      </c>
      <c r="H16" s="30"/>
      <c r="I16" s="46" t="s">
        <v>26</v>
      </c>
      <c r="J16" s="28" t="s">
        <v>28</v>
      </c>
      <c r="K16" s="30"/>
      <c r="L16" s="46" t="s">
        <v>26</v>
      </c>
      <c r="M16" s="28" t="s">
        <v>29</v>
      </c>
      <c r="N16" s="30"/>
      <c r="O16" s="46" t="s">
        <v>26</v>
      </c>
      <c r="P16" s="28" t="s">
        <v>30</v>
      </c>
      <c r="Q16" s="30"/>
      <c r="R16" s="26" t="s">
        <v>31</v>
      </c>
      <c r="S16" s="49">
        <v>46007</v>
      </c>
      <c r="T16" s="50"/>
      <c r="U16" s="35"/>
      <c r="V16" s="35"/>
      <c r="W16" s="35"/>
    </row>
    <row r="17" spans="1:36" ht="93" customHeight="1" x14ac:dyDescent="0.25">
      <c r="A17" s="35"/>
      <c r="B17" s="35"/>
      <c r="C17" s="41"/>
      <c r="D17" s="35"/>
      <c r="E17" s="35"/>
      <c r="F17" s="46" t="s">
        <v>32</v>
      </c>
      <c r="G17" s="28">
        <v>934147094</v>
      </c>
      <c r="H17" s="30"/>
      <c r="I17" s="46" t="s">
        <v>32</v>
      </c>
      <c r="J17" s="28">
        <v>908803117</v>
      </c>
      <c r="K17" s="30"/>
      <c r="L17" s="46" t="s">
        <v>32</v>
      </c>
      <c r="M17" s="28">
        <v>923370221</v>
      </c>
      <c r="N17" s="30"/>
      <c r="O17" s="46" t="s">
        <v>32</v>
      </c>
      <c r="P17" s="28">
        <v>998506419</v>
      </c>
      <c r="Q17" s="30"/>
      <c r="R17" s="51"/>
      <c r="S17" s="52"/>
      <c r="T17" s="53"/>
      <c r="U17" s="35"/>
      <c r="V17" s="35"/>
      <c r="W17" s="35"/>
    </row>
    <row r="18" spans="1:36" ht="116.25" customHeight="1" x14ac:dyDescent="0.25">
      <c r="A18" s="35"/>
      <c r="B18" s="35"/>
      <c r="C18" s="41"/>
      <c r="D18" s="35"/>
      <c r="E18" s="35"/>
      <c r="F18" s="46" t="s">
        <v>33</v>
      </c>
      <c r="G18" s="54" t="s">
        <v>34</v>
      </c>
      <c r="H18" s="55"/>
      <c r="I18" s="46" t="s">
        <v>33</v>
      </c>
      <c r="J18" s="54" t="s">
        <v>35</v>
      </c>
      <c r="K18" s="55"/>
      <c r="L18" s="46" t="s">
        <v>33</v>
      </c>
      <c r="M18" s="54" t="s">
        <v>36</v>
      </c>
      <c r="N18" s="55"/>
      <c r="O18" s="46" t="s">
        <v>33</v>
      </c>
      <c r="P18" s="54" t="s">
        <v>37</v>
      </c>
      <c r="Q18" s="55"/>
      <c r="R18" s="27" t="s">
        <v>38</v>
      </c>
      <c r="S18" s="28" t="s">
        <v>39</v>
      </c>
      <c r="T18" s="30"/>
      <c r="U18" s="35"/>
      <c r="V18" s="35"/>
      <c r="W18" s="35"/>
    </row>
    <row r="19" spans="1:36" ht="86.25" customHeight="1" x14ac:dyDescent="0.25">
      <c r="A19" s="51"/>
      <c r="B19" s="51"/>
      <c r="C19" s="41"/>
      <c r="D19" s="51"/>
      <c r="E19" s="51"/>
      <c r="F19" s="27" t="s">
        <v>40</v>
      </c>
      <c r="G19" s="27" t="s">
        <v>41</v>
      </c>
      <c r="H19" s="27" t="s">
        <v>42</v>
      </c>
      <c r="I19" s="27" t="s">
        <v>40</v>
      </c>
      <c r="J19" s="27" t="s">
        <v>41</v>
      </c>
      <c r="K19" s="27" t="s">
        <v>42</v>
      </c>
      <c r="L19" s="27" t="s">
        <v>40</v>
      </c>
      <c r="M19" s="27" t="s">
        <v>41</v>
      </c>
      <c r="N19" s="27" t="s">
        <v>42</v>
      </c>
      <c r="O19" s="27" t="s">
        <v>40</v>
      </c>
      <c r="P19" s="27" t="s">
        <v>41</v>
      </c>
      <c r="Q19" s="27" t="s">
        <v>42</v>
      </c>
      <c r="R19" s="27" t="s">
        <v>40</v>
      </c>
      <c r="S19" s="27" t="s">
        <v>41</v>
      </c>
      <c r="T19" s="27" t="s">
        <v>42</v>
      </c>
      <c r="U19" s="51"/>
      <c r="V19" s="51"/>
      <c r="W19" s="51"/>
    </row>
    <row r="20" spans="1:36" ht="175.5" x14ac:dyDescent="0.25">
      <c r="A20" s="56">
        <v>1</v>
      </c>
      <c r="B20" s="57" t="s">
        <v>43</v>
      </c>
      <c r="C20" s="58" t="s">
        <v>44</v>
      </c>
      <c r="D20" s="59" t="s">
        <v>44</v>
      </c>
      <c r="E20" s="59">
        <v>1200</v>
      </c>
      <c r="F20" s="60">
        <v>27.85</v>
      </c>
      <c r="G20" s="61">
        <f>E20*F20</f>
        <v>33420</v>
      </c>
      <c r="H20" s="62" t="s">
        <v>45</v>
      </c>
      <c r="I20" s="63">
        <v>28</v>
      </c>
      <c r="J20" s="64">
        <f>I20*E20</f>
        <v>33600</v>
      </c>
      <c r="K20" s="65" t="s">
        <v>45</v>
      </c>
      <c r="L20" s="63">
        <v>7990</v>
      </c>
      <c r="M20" s="64">
        <f t="shared" ref="M20" si="0">L20*E20</f>
        <v>9588000</v>
      </c>
      <c r="N20" s="65" t="s">
        <v>46</v>
      </c>
      <c r="O20" s="60">
        <v>34</v>
      </c>
      <c r="P20" s="61">
        <f t="shared" ref="P20" si="1">O20*E20</f>
        <v>40800</v>
      </c>
      <c r="Q20" s="62" t="s">
        <v>47</v>
      </c>
      <c r="R20" s="63">
        <v>168</v>
      </c>
      <c r="S20" s="64">
        <v>40320</v>
      </c>
      <c r="T20" s="65" t="s">
        <v>48</v>
      </c>
      <c r="U20" s="66" t="s">
        <v>49</v>
      </c>
      <c r="V20" s="67">
        <f>F20</f>
        <v>27.85</v>
      </c>
      <c r="W20" s="68">
        <f t="shared" ref="W20" si="2">V20*E20</f>
        <v>33420</v>
      </c>
    </row>
    <row r="21" spans="1:36" s="33" customFormat="1" ht="59.25" customHeight="1" x14ac:dyDescent="0.25">
      <c r="A21" s="69" t="s">
        <v>50</v>
      </c>
      <c r="B21" s="69"/>
      <c r="C21" s="69"/>
      <c r="D21" s="69"/>
      <c r="E21" s="69"/>
      <c r="F21" s="70">
        <f>G20</f>
        <v>33420</v>
      </c>
      <c r="G21" s="70"/>
      <c r="H21" s="62" t="s">
        <v>7</v>
      </c>
      <c r="I21" s="71">
        <f>J20</f>
        <v>33600</v>
      </c>
      <c r="J21" s="72"/>
      <c r="K21" s="65" t="s">
        <v>7</v>
      </c>
      <c r="L21" s="73">
        <v>55930</v>
      </c>
      <c r="M21" s="73"/>
      <c r="N21" s="65" t="s">
        <v>7</v>
      </c>
      <c r="O21" s="70" t="e">
        <f>#REF!</f>
        <v>#REF!</v>
      </c>
      <c r="P21" s="70"/>
      <c r="Q21" s="62" t="s">
        <v>7</v>
      </c>
      <c r="R21" s="73" t="e">
        <f>#REF!</f>
        <v>#REF!</v>
      </c>
      <c r="S21" s="73"/>
      <c r="T21" s="65" t="s">
        <v>7</v>
      </c>
      <c r="U21" s="65"/>
      <c r="V21" s="74" t="s">
        <v>50</v>
      </c>
      <c r="W21" s="75">
        <f>W20</f>
        <v>33420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spans="1:36" s="33" customFormat="1" ht="15" hidden="1" customHeight="1" x14ac:dyDescent="0.25">
      <c r="A22" s="76"/>
      <c r="B22" s="76"/>
      <c r="C22" s="76"/>
      <c r="D22" s="77" t="s">
        <v>51</v>
      </c>
      <c r="E22" s="78" t="s">
        <v>42</v>
      </c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/>
      <c r="V22" s="76"/>
      <c r="W22" s="76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</row>
    <row r="23" spans="1:36" s="33" customFormat="1" ht="15" hidden="1" customHeight="1" x14ac:dyDescent="0.25">
      <c r="A23" s="76"/>
      <c r="B23" s="76"/>
      <c r="C23" s="76"/>
      <c r="D23" s="77"/>
      <c r="E23" s="78" t="s">
        <v>52</v>
      </c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80"/>
      <c r="V23" s="76"/>
      <c r="W23" s="76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</row>
    <row r="24" spans="1:36" s="33" customFormat="1" ht="15" hidden="1" customHeight="1" x14ac:dyDescent="0.25">
      <c r="A24" s="76"/>
      <c r="B24" s="76"/>
      <c r="C24" s="76"/>
      <c r="D24" s="77"/>
      <c r="E24" s="78" t="s">
        <v>53</v>
      </c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80"/>
      <c r="V24" s="76"/>
      <c r="W24" s="76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</row>
    <row r="25" spans="1:36" s="33" customFormat="1" ht="21" hidden="1" customHeight="1" x14ac:dyDescent="0.25">
      <c r="A25" s="76"/>
      <c r="B25" s="76"/>
      <c r="C25" s="76"/>
      <c r="D25" s="77"/>
      <c r="E25" s="78" t="s">
        <v>54</v>
      </c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80"/>
      <c r="V25" s="76"/>
      <c r="W25" s="76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</row>
    <row r="26" spans="1:36" s="33" customFormat="1" ht="90" customHeight="1" x14ac:dyDescent="0.25">
      <c r="A26" s="76"/>
      <c r="B26" s="76"/>
      <c r="C26" s="76"/>
      <c r="D26" s="77"/>
      <c r="E26" s="81" t="s">
        <v>55</v>
      </c>
      <c r="F26" s="82" t="s">
        <v>56</v>
      </c>
      <c r="G26" s="83"/>
      <c r="H26" s="84"/>
      <c r="I26" s="82" t="s">
        <v>56</v>
      </c>
      <c r="J26" s="83"/>
      <c r="K26" s="84"/>
      <c r="L26" s="82" t="s">
        <v>57</v>
      </c>
      <c r="M26" s="83"/>
      <c r="N26" s="84"/>
      <c r="O26" s="82" t="s">
        <v>58</v>
      </c>
      <c r="P26" s="83"/>
      <c r="Q26" s="84"/>
      <c r="R26" s="82" t="s">
        <v>59</v>
      </c>
      <c r="S26" s="83"/>
      <c r="T26" s="84"/>
      <c r="U26" s="85"/>
      <c r="V26" s="76"/>
      <c r="W26" s="76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spans="1:36" s="33" customFormat="1" ht="90" customHeight="1" x14ac:dyDescent="0.25">
      <c r="A27" s="76"/>
      <c r="B27" s="76"/>
      <c r="C27" s="76"/>
      <c r="D27" s="77"/>
      <c r="E27" s="81" t="s">
        <v>60</v>
      </c>
      <c r="F27" s="82" t="s">
        <v>61</v>
      </c>
      <c r="G27" s="83"/>
      <c r="H27" s="84"/>
      <c r="I27" s="82" t="s">
        <v>61</v>
      </c>
      <c r="J27" s="83"/>
      <c r="K27" s="84"/>
      <c r="L27" s="82" t="s">
        <v>62</v>
      </c>
      <c r="M27" s="83"/>
      <c r="N27" s="84"/>
      <c r="O27" s="82" t="s">
        <v>63</v>
      </c>
      <c r="P27" s="83"/>
      <c r="Q27" s="84"/>
      <c r="R27" s="82" t="s">
        <v>59</v>
      </c>
      <c r="S27" s="83"/>
      <c r="T27" s="84"/>
      <c r="U27" s="85"/>
      <c r="V27" s="76"/>
      <c r="W27" s="76" t="s">
        <v>7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spans="1:36" ht="90" customHeight="1" x14ac:dyDescent="0.25">
      <c r="A28" s="76"/>
      <c r="B28" s="76"/>
      <c r="C28" s="76"/>
      <c r="D28" s="77"/>
      <c r="E28" s="81" t="s">
        <v>64</v>
      </c>
      <c r="F28" s="86" t="s">
        <v>65</v>
      </c>
      <c r="G28" s="87"/>
      <c r="H28" s="88"/>
      <c r="I28" s="86" t="s">
        <v>65</v>
      </c>
      <c r="J28" s="87"/>
      <c r="K28" s="88"/>
      <c r="L28" s="86" t="s">
        <v>65</v>
      </c>
      <c r="M28" s="87"/>
      <c r="N28" s="88"/>
      <c r="O28" s="86" t="s">
        <v>65</v>
      </c>
      <c r="P28" s="87"/>
      <c r="Q28" s="88"/>
      <c r="R28" s="82" t="s">
        <v>59</v>
      </c>
      <c r="S28" s="83"/>
      <c r="T28" s="84"/>
      <c r="U28" s="80"/>
      <c r="V28" s="76"/>
      <c r="W28" s="76"/>
      <c r="AJ28" s="33"/>
    </row>
    <row r="29" spans="1:36" ht="90" customHeight="1" x14ac:dyDescent="0.25">
      <c r="A29" s="76"/>
      <c r="B29" s="76"/>
      <c r="C29" s="76"/>
      <c r="D29" s="77"/>
      <c r="E29" s="81" t="s">
        <v>66</v>
      </c>
      <c r="F29" s="86" t="s">
        <v>67</v>
      </c>
      <c r="G29" s="87"/>
      <c r="H29" s="88"/>
      <c r="I29" s="86" t="s">
        <v>67</v>
      </c>
      <c r="J29" s="87"/>
      <c r="K29" s="88"/>
      <c r="L29" s="86" t="s">
        <v>67</v>
      </c>
      <c r="M29" s="87"/>
      <c r="N29" s="88"/>
      <c r="O29" s="86" t="s">
        <v>67</v>
      </c>
      <c r="P29" s="87"/>
      <c r="Q29" s="88"/>
      <c r="R29" s="82" t="s">
        <v>59</v>
      </c>
      <c r="S29" s="83"/>
      <c r="T29" s="84"/>
      <c r="U29" s="80"/>
      <c r="V29" s="76"/>
      <c r="W29" s="76"/>
    </row>
    <row r="30" spans="1:36" ht="90" customHeight="1" x14ac:dyDescent="0.25">
      <c r="A30" s="76"/>
      <c r="B30" s="76"/>
      <c r="C30" s="76"/>
      <c r="D30" s="77" t="s">
        <v>68</v>
      </c>
      <c r="E30" s="81" t="s">
        <v>69</v>
      </c>
      <c r="F30" s="89">
        <v>46183</v>
      </c>
      <c r="G30" s="90"/>
      <c r="H30" s="91"/>
      <c r="I30" s="89">
        <v>46183</v>
      </c>
      <c r="J30" s="90"/>
      <c r="K30" s="91"/>
      <c r="L30" s="89">
        <v>46177</v>
      </c>
      <c r="M30" s="90"/>
      <c r="N30" s="91"/>
      <c r="O30" s="89">
        <v>46154</v>
      </c>
      <c r="P30" s="90"/>
      <c r="Q30" s="91"/>
      <c r="R30" s="82" t="s">
        <v>59</v>
      </c>
      <c r="S30" s="83"/>
      <c r="T30" s="84"/>
      <c r="U30" s="92"/>
      <c r="V30" s="76"/>
      <c r="W30" s="76"/>
    </row>
    <row r="31" spans="1:36" ht="90" customHeight="1" x14ac:dyDescent="0.25">
      <c r="A31" s="76"/>
      <c r="B31" s="76"/>
      <c r="C31" s="76"/>
      <c r="D31" s="77"/>
      <c r="E31" s="81" t="s">
        <v>70</v>
      </c>
      <c r="F31" s="82">
        <v>0</v>
      </c>
      <c r="G31" s="83"/>
      <c r="H31" s="84"/>
      <c r="I31" s="82">
        <v>0</v>
      </c>
      <c r="J31" s="83"/>
      <c r="K31" s="84"/>
      <c r="L31" s="82">
        <v>1</v>
      </c>
      <c r="M31" s="83"/>
      <c r="N31" s="84"/>
      <c r="O31" s="82">
        <v>1</v>
      </c>
      <c r="P31" s="83"/>
      <c r="Q31" s="84"/>
      <c r="R31" s="82" t="s">
        <v>59</v>
      </c>
      <c r="S31" s="83"/>
      <c r="T31" s="84"/>
      <c r="U31" s="85"/>
      <c r="V31" s="76"/>
      <c r="W31" s="76"/>
    </row>
    <row r="32" spans="1:36" ht="90" customHeight="1" x14ac:dyDescent="0.25">
      <c r="A32" s="76"/>
      <c r="B32" s="76"/>
      <c r="C32" s="76"/>
      <c r="D32" s="77"/>
      <c r="E32" s="81" t="s">
        <v>71</v>
      </c>
      <c r="F32" s="89">
        <v>46184</v>
      </c>
      <c r="G32" s="90"/>
      <c r="H32" s="91"/>
      <c r="I32" s="89">
        <v>46184</v>
      </c>
      <c r="J32" s="90"/>
      <c r="K32" s="91"/>
      <c r="L32" s="89">
        <v>46178</v>
      </c>
      <c r="M32" s="90"/>
      <c r="N32" s="91"/>
      <c r="O32" s="89">
        <v>46154</v>
      </c>
      <c r="P32" s="90"/>
      <c r="Q32" s="91"/>
      <c r="R32" s="82" t="s">
        <v>59</v>
      </c>
      <c r="S32" s="83"/>
      <c r="T32" s="84"/>
      <c r="U32" s="92"/>
      <c r="V32" s="76"/>
      <c r="W32" s="76"/>
    </row>
    <row r="33" spans="1:25" ht="90" x14ac:dyDescent="0.25">
      <c r="A33" s="76"/>
      <c r="B33" s="76"/>
      <c r="C33" s="76"/>
      <c r="D33" s="77"/>
      <c r="E33" s="81" t="s">
        <v>72</v>
      </c>
      <c r="F33" s="86" t="s">
        <v>73</v>
      </c>
      <c r="G33" s="87"/>
      <c r="H33" s="88"/>
      <c r="I33" s="86" t="s">
        <v>73</v>
      </c>
      <c r="J33" s="87"/>
      <c r="K33" s="88"/>
      <c r="L33" s="86" t="s">
        <v>73</v>
      </c>
      <c r="M33" s="87"/>
      <c r="N33" s="88"/>
      <c r="O33" s="86" t="s">
        <v>73</v>
      </c>
      <c r="P33" s="87"/>
      <c r="Q33" s="88"/>
      <c r="R33" s="86" t="s">
        <v>73</v>
      </c>
      <c r="S33" s="87"/>
      <c r="T33" s="88"/>
      <c r="U33" s="80"/>
      <c r="V33" s="76" t="s">
        <v>7</v>
      </c>
      <c r="W33" s="76"/>
    </row>
    <row r="34" spans="1:25" ht="150" x14ac:dyDescent="0.25">
      <c r="A34" s="76"/>
      <c r="B34" s="76"/>
      <c r="C34" s="76"/>
      <c r="D34" s="77"/>
      <c r="E34" s="81" t="s">
        <v>74</v>
      </c>
      <c r="F34" s="86" t="s">
        <v>73</v>
      </c>
      <c r="G34" s="87"/>
      <c r="H34" s="88"/>
      <c r="I34" s="86" t="s">
        <v>73</v>
      </c>
      <c r="J34" s="87"/>
      <c r="K34" s="88"/>
      <c r="L34" s="86" t="s">
        <v>73</v>
      </c>
      <c r="M34" s="87"/>
      <c r="N34" s="88"/>
      <c r="O34" s="86" t="s">
        <v>73</v>
      </c>
      <c r="P34" s="87"/>
      <c r="Q34" s="88"/>
      <c r="R34" s="86" t="s">
        <v>73</v>
      </c>
      <c r="S34" s="87"/>
      <c r="T34" s="88"/>
      <c r="U34" s="80"/>
      <c r="V34" s="76"/>
      <c r="W34" s="76"/>
    </row>
    <row r="35" spans="1:25" s="33" customFormat="1" ht="120" x14ac:dyDescent="0.25">
      <c r="A35" s="76"/>
      <c r="B35" s="76"/>
      <c r="C35" s="76"/>
      <c r="D35" s="77"/>
      <c r="E35" s="81" t="s">
        <v>75</v>
      </c>
      <c r="F35" s="86" t="s">
        <v>76</v>
      </c>
      <c r="G35" s="87"/>
      <c r="H35" s="88"/>
      <c r="I35" s="86" t="s">
        <v>73</v>
      </c>
      <c r="J35" s="87"/>
      <c r="K35" s="88"/>
      <c r="L35" s="86" t="s">
        <v>73</v>
      </c>
      <c r="M35" s="87"/>
      <c r="N35" s="88"/>
      <c r="O35" s="86" t="s">
        <v>73</v>
      </c>
      <c r="P35" s="87"/>
      <c r="Q35" s="88"/>
      <c r="R35" s="86" t="s">
        <v>73</v>
      </c>
      <c r="S35" s="87"/>
      <c r="T35" s="88"/>
      <c r="U35" s="80"/>
      <c r="V35" s="76"/>
      <c r="W35" s="76"/>
      <c r="Y35" s="34"/>
    </row>
    <row r="36" spans="1:25" s="33" customFormat="1" ht="90" x14ac:dyDescent="0.25">
      <c r="A36" s="76"/>
      <c r="B36" s="76"/>
      <c r="C36" s="76"/>
      <c r="D36" s="77"/>
      <c r="E36" s="81" t="s">
        <v>77</v>
      </c>
      <c r="F36" s="86" t="s">
        <v>76</v>
      </c>
      <c r="G36" s="87"/>
      <c r="H36" s="88"/>
      <c r="I36" s="86" t="s">
        <v>78</v>
      </c>
      <c r="J36" s="87"/>
      <c r="K36" s="88"/>
      <c r="L36" s="86" t="s">
        <v>78</v>
      </c>
      <c r="M36" s="87"/>
      <c r="N36" s="88"/>
      <c r="O36" s="86" t="s">
        <v>73</v>
      </c>
      <c r="P36" s="87"/>
      <c r="Q36" s="88"/>
      <c r="R36" s="93" t="s">
        <v>79</v>
      </c>
      <c r="S36" s="94"/>
      <c r="T36" s="95"/>
      <c r="U36" s="80"/>
      <c r="V36" s="76"/>
      <c r="W36" s="76"/>
      <c r="Y36" s="34"/>
    </row>
    <row r="37" spans="1:25" s="33" customFormat="1" ht="409.5" customHeight="1" x14ac:dyDescent="0.25">
      <c r="A37" s="96" t="s">
        <v>80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Y37" s="34"/>
    </row>
    <row r="38" spans="1:25" s="33" customFormat="1" ht="142.5" customHeight="1" x14ac:dyDescent="0.25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Y38" s="34"/>
    </row>
    <row r="39" spans="1:25" s="33" customFormat="1" ht="46.5" x14ac:dyDescent="0.25">
      <c r="A39" s="97"/>
      <c r="B39" s="97"/>
      <c r="C39" s="97"/>
      <c r="D39" s="98" t="s">
        <v>81</v>
      </c>
      <c r="E39" s="99">
        <v>46216</v>
      </c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7"/>
      <c r="W39" s="97"/>
      <c r="Y39" s="34"/>
    </row>
    <row r="40" spans="1:25" s="33" customFormat="1" x14ac:dyDescent="0.25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Y40" s="34"/>
    </row>
    <row r="41" spans="1:25" s="33" customFormat="1" x14ac:dyDescent="0.25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Y41" s="34"/>
    </row>
    <row r="42" spans="1:25" s="33" customFormat="1" x14ac:dyDescent="0.2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Y42" s="34"/>
    </row>
    <row r="43" spans="1:25" s="33" customFormat="1" x14ac:dyDescent="0.25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Y43" s="34"/>
    </row>
    <row r="44" spans="1:25" s="33" customFormat="1" x14ac:dyDescent="0.2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Y44" s="34"/>
    </row>
    <row r="45" spans="1:25" s="33" customFormat="1" x14ac:dyDescent="0.2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Y45" s="34"/>
    </row>
    <row r="46" spans="1:25" s="33" customFormat="1" x14ac:dyDescent="0.2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Y46" s="34"/>
    </row>
    <row r="47" spans="1:25" s="33" customFormat="1" x14ac:dyDescent="0.25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Y47" s="34"/>
    </row>
    <row r="48" spans="1:25" s="33" customFormat="1" x14ac:dyDescent="0.2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Y48" s="34"/>
    </row>
    <row r="49" spans="1:25" s="33" customFormat="1" x14ac:dyDescent="0.25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Y49" s="34"/>
    </row>
    <row r="50" spans="1:25" s="33" customFormat="1" x14ac:dyDescent="0.25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Y50" s="34"/>
    </row>
    <row r="51" spans="1:25" s="33" customFormat="1" x14ac:dyDescent="0.25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Y51" s="34"/>
    </row>
    <row r="52" spans="1:25" s="33" customFormat="1" x14ac:dyDescent="0.25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Y52" s="34"/>
    </row>
    <row r="53" spans="1:25" s="33" customFormat="1" x14ac:dyDescent="0.25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Y53" s="34"/>
    </row>
    <row r="54" spans="1:25" s="33" customFormat="1" x14ac:dyDescent="0.25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Y54" s="34"/>
    </row>
    <row r="55" spans="1:25" s="33" customFormat="1" x14ac:dyDescent="0.2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Y55" s="34"/>
    </row>
    <row r="56" spans="1:25" s="33" customFormat="1" x14ac:dyDescent="0.25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Y56" s="34"/>
    </row>
    <row r="57" spans="1:25" s="33" customFormat="1" x14ac:dyDescent="0.25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Y57" s="34"/>
    </row>
    <row r="58" spans="1:25" s="33" customFormat="1" x14ac:dyDescent="0.25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Y58" s="34"/>
    </row>
    <row r="59" spans="1:25" s="33" customFormat="1" x14ac:dyDescent="0.25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Y59" s="34"/>
    </row>
    <row r="60" spans="1:25" s="33" customFormat="1" x14ac:dyDescent="0.25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Y60" s="34"/>
    </row>
  </sheetData>
  <mergeCells count="110">
    <mergeCell ref="F36:H36"/>
    <mergeCell ref="I36:K36"/>
    <mergeCell ref="L36:N36"/>
    <mergeCell ref="O36:Q36"/>
    <mergeCell ref="R36:T36"/>
    <mergeCell ref="A37:W38"/>
    <mergeCell ref="F34:H34"/>
    <mergeCell ref="I34:K34"/>
    <mergeCell ref="L34:N34"/>
    <mergeCell ref="O34:Q34"/>
    <mergeCell ref="R34:T34"/>
    <mergeCell ref="F35:H35"/>
    <mergeCell ref="I35:K35"/>
    <mergeCell ref="L35:N35"/>
    <mergeCell ref="O35:Q35"/>
    <mergeCell ref="R35:T35"/>
    <mergeCell ref="F32:H32"/>
    <mergeCell ref="I32:K32"/>
    <mergeCell ref="L32:N32"/>
    <mergeCell ref="O32:Q32"/>
    <mergeCell ref="R32:T32"/>
    <mergeCell ref="F33:H33"/>
    <mergeCell ref="I33:K33"/>
    <mergeCell ref="L33:N33"/>
    <mergeCell ref="O33:Q33"/>
    <mergeCell ref="R33:T33"/>
    <mergeCell ref="R30:T30"/>
    <mergeCell ref="F31:H31"/>
    <mergeCell ref="I31:K31"/>
    <mergeCell ref="L31:N31"/>
    <mergeCell ref="O31:Q31"/>
    <mergeCell ref="R31:T31"/>
    <mergeCell ref="F29:H29"/>
    <mergeCell ref="I29:K29"/>
    <mergeCell ref="L29:N29"/>
    <mergeCell ref="O29:Q29"/>
    <mergeCell ref="R29:T29"/>
    <mergeCell ref="D30:D36"/>
    <mergeCell ref="F30:H30"/>
    <mergeCell ref="I30:K30"/>
    <mergeCell ref="L30:N30"/>
    <mergeCell ref="O30:Q30"/>
    <mergeCell ref="R27:T27"/>
    <mergeCell ref="F28:H28"/>
    <mergeCell ref="I28:K28"/>
    <mergeCell ref="L28:N28"/>
    <mergeCell ref="O28:Q28"/>
    <mergeCell ref="R28:T28"/>
    <mergeCell ref="D22:D29"/>
    <mergeCell ref="F26:H26"/>
    <mergeCell ref="I26:K26"/>
    <mergeCell ref="L26:N26"/>
    <mergeCell ref="O26:Q26"/>
    <mergeCell ref="R26:T26"/>
    <mergeCell ref="F27:H27"/>
    <mergeCell ref="I27:K27"/>
    <mergeCell ref="L27:N27"/>
    <mergeCell ref="O27:Q27"/>
    <mergeCell ref="A21:E21"/>
    <mergeCell ref="F21:G21"/>
    <mergeCell ref="I21:J21"/>
    <mergeCell ref="L21:M21"/>
    <mergeCell ref="O21:P21"/>
    <mergeCell ref="R21:S21"/>
    <mergeCell ref="S16:T17"/>
    <mergeCell ref="G17:H17"/>
    <mergeCell ref="J17:K17"/>
    <mergeCell ref="M17:N17"/>
    <mergeCell ref="P17:Q17"/>
    <mergeCell ref="G18:H18"/>
    <mergeCell ref="J18:K18"/>
    <mergeCell ref="M18:N18"/>
    <mergeCell ref="P18:Q18"/>
    <mergeCell ref="S18:T18"/>
    <mergeCell ref="U13:U19"/>
    <mergeCell ref="V13:V19"/>
    <mergeCell ref="W13:W19"/>
    <mergeCell ref="G15:H15"/>
    <mergeCell ref="J15:K15"/>
    <mergeCell ref="M15:N15"/>
    <mergeCell ref="P15:Q15"/>
    <mergeCell ref="S15:T15"/>
    <mergeCell ref="G16:H16"/>
    <mergeCell ref="J16:K16"/>
    <mergeCell ref="V11:W11"/>
    <mergeCell ref="F12:H12"/>
    <mergeCell ref="I12:K12"/>
    <mergeCell ref="L12:N12"/>
    <mergeCell ref="O12:Q12"/>
    <mergeCell ref="F13:H14"/>
    <mergeCell ref="I13:K14"/>
    <mergeCell ref="L13:N14"/>
    <mergeCell ref="O13:Q14"/>
    <mergeCell ref="R13:R14"/>
    <mergeCell ref="A11:A19"/>
    <mergeCell ref="B11:B19"/>
    <mergeCell ref="D11:D19"/>
    <mergeCell ref="E11:E19"/>
    <mergeCell ref="F11:Q11"/>
    <mergeCell ref="R11:T12"/>
    <mergeCell ref="S13:T14"/>
    <mergeCell ref="M16:N16"/>
    <mergeCell ref="P16:Q16"/>
    <mergeCell ref="R16:R17"/>
    <mergeCell ref="A1:W1"/>
    <mergeCell ref="A3:W3"/>
    <mergeCell ref="A4:E4"/>
    <mergeCell ref="A5:W5"/>
    <mergeCell ref="A7:B7"/>
    <mergeCell ref="D7:U7"/>
  </mergeCells>
  <hyperlinks>
    <hyperlink ref="X1" location="Listado!A1" display="Regresar" xr:uid="{440178A0-07A3-45D9-BF95-6AE1EA708EB6}"/>
    <hyperlink ref="P18" r:id="rId1" xr:uid="{5B5B16FC-4017-4D36-AAA6-3A0B0C8CA9D9}"/>
    <hyperlink ref="M18" r:id="rId2" xr:uid="{16AD43E9-BEA7-4621-B6DC-F728F4B7CFE2}"/>
    <hyperlink ref="G18" r:id="rId3" xr:uid="{6AE776AE-5A14-44D5-935E-E35DB2558A09}"/>
    <hyperlink ref="J18" r:id="rId4" xr:uid="{11B14D2D-9EC0-4250-B85D-64B3F895782C}"/>
  </hyperlinks>
  <pageMargins left="0" right="0" top="0" bottom="0" header="0.31496062992125984" footer="0.31496062992125984"/>
  <pageSetup paperSize="9" scale="23" fitToHeight="0" orientation="landscape" horizontalDpi="1200" verticalDpi="120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Miguel Moran Sam Phan</dc:creator>
  <cp:lastModifiedBy>Renzo Miguel Moran Sam Phan</cp:lastModifiedBy>
  <dcterms:created xsi:type="dcterms:W3CDTF">2026-07-13T23:05:41Z</dcterms:created>
  <dcterms:modified xsi:type="dcterms:W3CDTF">2026-07-13T23:06:04Z</dcterms:modified>
</cp:coreProperties>
</file>